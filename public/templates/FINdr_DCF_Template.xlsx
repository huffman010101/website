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Model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9">
    <font>
      <name val="Calibri"/>
      <family val="2"/>
      <color theme="1"/>
      <sz val="11"/>
      <scheme val="minor"/>
    </font>
    <font>
      <b val="1"/>
      <color rgb="00000000"/>
      <sz val="16"/>
    </font>
    <font>
      <i val="1"/>
      <color rgb="00666666"/>
      <sz val="9"/>
    </font>
    <font>
      <b val="1"/>
      <color rgb="00FFFFFF"/>
      <sz val="12"/>
    </font>
    <font>
      <b val="1"/>
    </font>
    <font>
      <b val="1"/>
      <color rgb="001155CC"/>
    </font>
    <font>
      <b val="1"/>
      <color rgb="00008800"/>
    </font>
    <font>
      <b val="1"/>
      <sz val="12"/>
    </font>
    <font>
      <b val="1"/>
      <color rgb="00008800"/>
      <sz val="1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164" fontId="5" fillId="3" borderId="1" pivotButton="0" quotePrefix="0" xfId="0"/>
    <xf numFmtId="0" fontId="5" fillId="3" borderId="1" pivotButton="0" quotePrefix="0" xfId="0"/>
    <xf numFmtId="0" fontId="4" fillId="0" borderId="0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3" fontId="4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7" fillId="0" borderId="0" pivotButton="0" quotePrefix="0" xfId="0"/>
    <xf numFmtId="3" fontId="7" fillId="0" borderId="1" pivotButton="0" quotePrefix="0" xfId="0"/>
    <xf numFmtId="0" fontId="8" fillId="0" borderId="0" pivotButton="0" quotePrefix="0" xfId="0"/>
    <xf numFmtId="4" fontId="7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FINdr — DCF Valuation Template</t>
        </is>
      </c>
    </row>
    <row r="2">
      <c r="A2" s="2" t="inlineStr">
        <is>
          <t>Yellow cells = inputs. White cells = live formulas. Replace the example assumptions with your own.</t>
        </is>
      </c>
    </row>
    <row r="4">
      <c r="A4" s="3" t="inlineStr">
        <is>
          <t>ASSUMPTIONS</t>
        </is>
      </c>
    </row>
    <row r="5">
      <c r="A5" s="4" t="inlineStr">
        <is>
          <t>WACC (discount rate)</t>
        </is>
      </c>
      <c r="B5" s="5" t="n">
        <v>0.09</v>
      </c>
    </row>
    <row r="6">
      <c r="A6" s="4" t="inlineStr">
        <is>
          <t>Terminal growth rate</t>
        </is>
      </c>
      <c r="B6" s="5" t="n">
        <v>0.025</v>
      </c>
    </row>
    <row r="7">
      <c r="A7" s="4" t="inlineStr">
        <is>
          <t>Tax rate</t>
        </is>
      </c>
      <c r="B7" s="5" t="n">
        <v>0.25</v>
      </c>
    </row>
    <row r="8">
      <c r="A8" s="4" t="inlineStr">
        <is>
          <t>Shares outstanding (m)</t>
        </is>
      </c>
      <c r="B8" s="6" t="n">
        <v>100</v>
      </c>
    </row>
    <row r="9">
      <c r="A9" s="4" t="inlineStr">
        <is>
          <t>Net debt (£m)</t>
        </is>
      </c>
      <c r="B9" s="6" t="n">
        <v>150</v>
      </c>
    </row>
    <row r="11">
      <c r="A11" s="3" t="inlineStr">
        <is>
          <t>FREE CASH FLOW PROJECTION (£m)</t>
        </is>
      </c>
    </row>
    <row r="12">
      <c r="B12" s="7" t="inlineStr">
        <is>
          <t>Year 1</t>
        </is>
      </c>
      <c r="C12" s="7" t="inlineStr">
        <is>
          <t>Year 2</t>
        </is>
      </c>
      <c r="D12" s="7" t="inlineStr">
        <is>
          <t>Year 3</t>
        </is>
      </c>
      <c r="E12" s="7" t="inlineStr">
        <is>
          <t>Year 4</t>
        </is>
      </c>
      <c r="F12" s="7" t="inlineStr">
        <is>
          <t>Year 5</t>
        </is>
      </c>
    </row>
    <row r="13">
      <c r="A13" s="4" t="inlineStr">
        <is>
          <t>Revenue</t>
        </is>
      </c>
      <c r="B13" s="6" t="n">
        <v>500</v>
      </c>
      <c r="C13" s="8">
        <f>B13*1.08</f>
        <v/>
      </c>
      <c r="D13" s="8">
        <f>C13*1.08</f>
        <v/>
      </c>
      <c r="E13" s="8">
        <f>D13*1.08</f>
        <v/>
      </c>
      <c r="F13" s="8">
        <f>E13*1.08</f>
        <v/>
      </c>
    </row>
    <row r="14">
      <c r="A14" s="4" t="inlineStr">
        <is>
          <t>Revenue growth %</t>
        </is>
      </c>
      <c r="C14" s="9">
        <f>C13/B13-1</f>
        <v/>
      </c>
      <c r="D14" s="9">
        <f>D13/C13-1</f>
        <v/>
      </c>
      <c r="E14" s="9">
        <f>E13/D13-1</f>
        <v/>
      </c>
      <c r="F14" s="9">
        <f>F13/E13-1</f>
        <v/>
      </c>
    </row>
    <row r="15">
      <c r="A15" s="4" t="inlineStr">
        <is>
          <t>EBIT margin %</t>
        </is>
      </c>
      <c r="B15" s="5" t="n">
        <v>0.22</v>
      </c>
      <c r="C15" s="9">
        <f>$B$15</f>
        <v/>
      </c>
      <c r="D15" s="9">
        <f>$B$15</f>
        <v/>
      </c>
      <c r="E15" s="9">
        <f>$B$15</f>
        <v/>
      </c>
      <c r="F15" s="9">
        <f>$B$15</f>
        <v/>
      </c>
    </row>
    <row r="16">
      <c r="A16" s="4" t="inlineStr">
        <is>
          <t>EBIT</t>
        </is>
      </c>
      <c r="B16" s="8">
        <f>B13*B15</f>
        <v/>
      </c>
      <c r="C16" s="8">
        <f>C13*C15</f>
        <v/>
      </c>
      <c r="D16" s="8">
        <f>D13*D15</f>
        <v/>
      </c>
      <c r="E16" s="8">
        <f>E13*E15</f>
        <v/>
      </c>
      <c r="F16" s="8">
        <f>F13*F15</f>
        <v/>
      </c>
    </row>
    <row r="17">
      <c r="A17" s="4" t="inlineStr">
        <is>
          <t>Less: Tax on EBIT</t>
        </is>
      </c>
      <c r="B17" s="8">
        <f>-B16*$B$7</f>
        <v/>
      </c>
      <c r="C17" s="8">
        <f>-C16*$B$7</f>
        <v/>
      </c>
      <c r="D17" s="8">
        <f>-D16*$B$7</f>
        <v/>
      </c>
      <c r="E17" s="8">
        <f>-E16*$B$7</f>
        <v/>
      </c>
      <c r="F17" s="8">
        <f>-F16*$B$7</f>
        <v/>
      </c>
    </row>
    <row r="18">
      <c r="A18" s="4" t="inlineStr">
        <is>
          <t>NOPAT</t>
        </is>
      </c>
      <c r="B18" s="8">
        <f>B16+B17</f>
        <v/>
      </c>
      <c r="C18" s="8">
        <f>C16+C17</f>
        <v/>
      </c>
      <c r="D18" s="8">
        <f>D16+D17</f>
        <v/>
      </c>
      <c r="E18" s="8">
        <f>E16+E17</f>
        <v/>
      </c>
      <c r="F18" s="8">
        <f>F16+F17</f>
        <v/>
      </c>
    </row>
    <row r="19">
      <c r="A19" s="4" t="inlineStr">
        <is>
          <t>Add: D&amp;A</t>
        </is>
      </c>
      <c r="B19" s="6" t="n">
        <v>20</v>
      </c>
      <c r="C19" s="10">
        <f>$B$19</f>
        <v/>
      </c>
      <c r="D19" s="10">
        <f>$B$19</f>
        <v/>
      </c>
      <c r="E19" s="10">
        <f>$B$19</f>
        <v/>
      </c>
      <c r="F19" s="10">
        <f>$B$19</f>
        <v/>
      </c>
    </row>
    <row r="20">
      <c r="A20" s="4" t="inlineStr">
        <is>
          <t>Less: Capex</t>
        </is>
      </c>
      <c r="B20" s="6" t="n">
        <v>25</v>
      </c>
      <c r="C20" s="10">
        <f>$B$20</f>
        <v/>
      </c>
      <c r="D20" s="10">
        <f>$B$20</f>
        <v/>
      </c>
      <c r="E20" s="10">
        <f>$B$20</f>
        <v/>
      </c>
      <c r="F20" s="10">
        <f>$B$20</f>
        <v/>
      </c>
    </row>
    <row r="21">
      <c r="A21" s="4" t="inlineStr">
        <is>
          <t>Less: Increase in NWC</t>
        </is>
      </c>
      <c r="B21" s="6" t="n">
        <v>5</v>
      </c>
      <c r="C21" s="10">
        <f>$B$21</f>
        <v/>
      </c>
      <c r="D21" s="10">
        <f>$B$21</f>
        <v/>
      </c>
      <c r="E21" s="10">
        <f>$B$21</f>
        <v/>
      </c>
      <c r="F21" s="10">
        <f>$B$21</f>
        <v/>
      </c>
    </row>
    <row r="22">
      <c r="A22" s="11" t="inlineStr">
        <is>
          <t>Unlevered Free Cash Flow</t>
        </is>
      </c>
      <c r="B22" s="12">
        <f>B18+B19-B20-B21</f>
        <v/>
      </c>
      <c r="C22" s="12">
        <f>C18+C19-C20-C21</f>
        <v/>
      </c>
      <c r="D22" s="12">
        <f>D18+D19-D20-D21</f>
        <v/>
      </c>
      <c r="E22" s="12">
        <f>E18+E19-E20-E21</f>
        <v/>
      </c>
      <c r="F22" s="12">
        <f>F18+F19-F20-F21</f>
        <v/>
      </c>
    </row>
    <row r="24">
      <c r="A24" s="3" t="inlineStr">
        <is>
          <t>DISCOUNTING</t>
        </is>
      </c>
    </row>
    <row r="25">
      <c r="A25" s="4" t="inlineStr">
        <is>
          <t>Discount period</t>
        </is>
      </c>
      <c r="B25" s="13">
        <f>1</f>
        <v/>
      </c>
      <c r="C25" s="13">
        <f>2</f>
        <v/>
      </c>
      <c r="D25" s="13">
        <f>3</f>
        <v/>
      </c>
      <c r="E25" s="13">
        <f>4</f>
        <v/>
      </c>
      <c r="F25" s="13">
        <f>5</f>
        <v/>
      </c>
    </row>
    <row r="26">
      <c r="A26" s="4" t="inlineStr">
        <is>
          <t>Discount factor</t>
        </is>
      </c>
      <c r="B26" s="14">
        <f>1/(1+$B$5)^B25</f>
        <v/>
      </c>
      <c r="C26" s="14">
        <f>1/(1+$B$5)^C25</f>
        <v/>
      </c>
      <c r="D26" s="14">
        <f>1/(1+$B$5)^D25</f>
        <v/>
      </c>
      <c r="E26" s="14">
        <f>1/(1+$B$5)^E25</f>
        <v/>
      </c>
      <c r="F26" s="14">
        <f>1/(1+$B$5)^F25</f>
        <v/>
      </c>
    </row>
    <row r="27">
      <c r="A27" s="4" t="inlineStr">
        <is>
          <t>PV of FCF</t>
        </is>
      </c>
      <c r="B27" s="8">
        <f>B22*B26</f>
        <v/>
      </c>
      <c r="C27" s="8">
        <f>C22*C26</f>
        <v/>
      </c>
      <c r="D27" s="8">
        <f>D22*D26</f>
        <v/>
      </c>
      <c r="E27" s="8">
        <f>E22*E26</f>
        <v/>
      </c>
      <c r="F27" s="8">
        <f>F22*F26</f>
        <v/>
      </c>
    </row>
    <row r="29">
      <c r="A29" s="3" t="inlineStr">
        <is>
          <t>TERMINAL VALUE &amp; ENTERPRISE VALUE</t>
        </is>
      </c>
    </row>
    <row r="30">
      <c r="A30" s="4" t="inlineStr">
        <is>
          <t>Terminal Value (at Year 5)</t>
        </is>
      </c>
      <c r="B30" s="8">
        <f>F22*(1+B6)/(B5-B6)</f>
        <v/>
      </c>
    </row>
    <row r="31">
      <c r="A31" s="4" t="inlineStr">
        <is>
          <t>PV of Terminal Value</t>
        </is>
      </c>
      <c r="B31" s="8">
        <f>B30*F26</f>
        <v/>
      </c>
    </row>
    <row r="32">
      <c r="A32" s="4" t="inlineStr">
        <is>
          <t>Sum of PV of FCF (Years 1-5)</t>
        </is>
      </c>
      <c r="B32" s="8">
        <f>SUM(B27:F27)</f>
        <v/>
      </c>
    </row>
    <row r="33">
      <c r="A33" s="15" t="inlineStr">
        <is>
          <t>Enterprise Value</t>
        </is>
      </c>
      <c r="B33" s="16">
        <f>B31+B32</f>
        <v/>
      </c>
    </row>
    <row r="34">
      <c r="A34" s="4" t="inlineStr">
        <is>
          <t>Less: Net Debt</t>
        </is>
      </c>
      <c r="B34" s="8">
        <f>-B9</f>
        <v/>
      </c>
    </row>
    <row r="35">
      <c r="A35" s="17" t="inlineStr">
        <is>
          <t>Equity Value</t>
        </is>
      </c>
      <c r="B35" s="16">
        <f>B33+B34</f>
        <v/>
      </c>
    </row>
    <row r="36">
      <c r="A36" s="17" t="inlineStr">
        <is>
          <t>Implied Share Price</t>
        </is>
      </c>
      <c r="B36" s="18">
        <f>B35/B8</f>
        <v/>
      </c>
    </row>
  </sheetData>
  <mergeCells count="4">
    <mergeCell ref="A4:H4"/>
    <mergeCell ref="A24:H24"/>
    <mergeCell ref="A11:H11"/>
    <mergeCell ref="A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DCF template</t>
        </is>
      </c>
    </row>
    <row r="2" ht="260" customHeight="1">
      <c r="A2" s="19" t="inlineStr">
        <is>
          <t>1. Replace every YELLOW cell with your own assumptions — revenue base, growth, margins, WACC, terminal growth, tax rate, shares and net debt.
2. Everything else is a live formula and will recalculate automatically as you change inputs.
3. WACC and terminal growth rate are the two most sensitive inputs — small changes move the valuation a lot. Try a few scenarios.
4. This is a simplified single-stage model for learning purposes. Real banker models often add scenario toggles, sensitivity tables, and multi-stage growth. Use this as your starting skeleton and build from here.
5. Cross-check your output against a trading comps / precedent transactions valuation — a DCF should not be your only anchor.
Built for the FINdr Develop Knowledge DCF capstone (findr — Finance Discovery). Practise the same steps interactively at /learn/capstone/dcf.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2026-07-15T18:07:31Z</dcterms:created>
  <dcterms:modified xsi:type="dcterms:W3CDTF">2026-07-15T18:07:31Z</dcterms:modified>
</cp:coreProperties>
</file>