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BO Model" sheetId="1" state="visible" r:id="rId1"/>
    <sheet name="How to Use" sheetId="2" state="visible" r:id="rId2"/>
  </sheets>
  <definedNames/>
  <calcPr calcId="124519" fullCalcOnLoad="1"/>
</workbook>
</file>

<file path=xl/styles.xml><?xml version="1.0" encoding="utf-8"?>
<styleSheet xmlns="http://schemas.openxmlformats.org/spreadsheetml/2006/main">
  <numFmts count="3">
    <numFmt numFmtId="164" formatCode="0.0&quot;x&quot;"/>
    <numFmt numFmtId="165" formatCode="0.0%"/>
    <numFmt numFmtId="166" formatCode="0.00&quot;x&quot;"/>
  </numFmts>
  <fonts count="8">
    <font>
      <name val="Calibri"/>
      <family val="2"/>
      <color theme="1"/>
      <sz val="11"/>
      <scheme val="minor"/>
    </font>
    <font>
      <b val="1"/>
      <color rgb="00000000"/>
      <sz val="16"/>
    </font>
    <font>
      <i val="1"/>
      <color rgb="00666666"/>
      <sz val="9"/>
    </font>
    <font>
      <b val="1"/>
      <color rgb="00FFFFFF"/>
      <sz val="12"/>
    </font>
    <font>
      <b val="1"/>
    </font>
    <font>
      <b val="1"/>
      <color rgb="001155CC"/>
    </font>
    <font>
      <b val="1"/>
      <sz val="12"/>
    </font>
    <font>
      <b val="1"/>
      <color rgb="00008800"/>
    </font>
  </fonts>
  <fills count="4">
    <fill>
      <patternFill/>
    </fill>
    <fill>
      <patternFill patternType="gray125"/>
    </fill>
    <fill>
      <patternFill patternType="solid">
        <fgColor rgb="001A1A2E"/>
        <bgColor rgb="001A1A2E"/>
      </patternFill>
    </fill>
    <fill>
      <patternFill patternType="solid">
        <fgColor rgb="00FFF2CC"/>
        <b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4" fillId="0" borderId="0" pivotButton="0" quotePrefix="0" xfId="0"/>
    <xf numFmtId="0" fontId="5" fillId="3" borderId="1" pivotButton="0" quotePrefix="0" xfId="0"/>
    <xf numFmtId="164" fontId="5" fillId="3" borderId="1" pivotButton="0" quotePrefix="0" xfId="0"/>
    <xf numFmtId="3" fontId="4" fillId="0" borderId="1" pivotButton="0" quotePrefix="0" xfId="0"/>
    <xf numFmtId="9" fontId="5" fillId="3" borderId="1" pivotButton="0" quotePrefix="0" xfId="0"/>
    <xf numFmtId="3" fontId="0" fillId="0" borderId="1" pivotButton="0" quotePrefix="0" xfId="0"/>
    <xf numFmtId="1" fontId="5" fillId="3" borderId="1" pivotButton="0" quotePrefix="0" xfId="0"/>
    <xf numFmtId="165" fontId="5" fillId="3" borderId="1" pivotButton="0" quotePrefix="0" xfId="0"/>
    <xf numFmtId="0" fontId="4" fillId="0" borderId="0" applyAlignment="1" pivotButton="0" quotePrefix="0" xfId="0">
      <alignment horizontal="center"/>
    </xf>
    <xf numFmtId="0" fontId="6" fillId="0" borderId="0" pivotButton="0" quotePrefix="0" xfId="0"/>
    <xf numFmtId="3" fontId="7" fillId="0" borderId="1" pivotButton="0" quotePrefix="0" xfId="0"/>
    <xf numFmtId="166" fontId="7" fillId="0" borderId="1" pivotButton="0" quotePrefix="0" xfId="0"/>
    <xf numFmtId="165" fontId="7" fillId="0" borderId="1"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8" customWidth="1" min="8" max="8"/>
  </cols>
  <sheetData>
    <row r="1">
      <c r="A1" s="1" t="inlineStr">
        <is>
          <t>FINdr — LBO Model Template</t>
        </is>
      </c>
    </row>
    <row r="2">
      <c r="A2" s="2" t="inlineStr">
        <is>
          <t>Yellow cells = inputs. White cells = live formulas. Replace the example assumptions with your own.</t>
        </is>
      </c>
    </row>
    <row r="4">
      <c r="A4" s="3" t="inlineStr">
        <is>
          <t>ENTRY ASSUMPTIONS</t>
        </is>
      </c>
    </row>
    <row r="5">
      <c r="A5" s="4" t="inlineStr">
        <is>
          <t>Entry EBITDA (£m)</t>
        </is>
      </c>
      <c r="B5" s="5" t="n">
        <v>80</v>
      </c>
    </row>
    <row r="6">
      <c r="A6" s="4" t="inlineStr">
        <is>
          <t>Entry Multiple (x EBITDA)</t>
        </is>
      </c>
      <c r="B6" s="6" t="n">
        <v>9</v>
      </c>
    </row>
    <row r="7">
      <c r="A7" s="4" t="inlineStr">
        <is>
          <t>Purchase Price / Enterprise Value (£m)</t>
        </is>
      </c>
      <c r="B7" s="7">
        <f>B5*B6</f>
        <v/>
      </c>
    </row>
    <row r="8">
      <c r="A8" s="4" t="inlineStr">
        <is>
          <t>Debt % of Purchase Price</t>
        </is>
      </c>
      <c r="B8" s="8" t="n">
        <v>0.6</v>
      </c>
    </row>
    <row r="9">
      <c r="A9" s="4" t="inlineStr">
        <is>
          <t>Debt (£m)</t>
        </is>
      </c>
      <c r="B9" s="9">
        <f>B7*B8</f>
        <v/>
      </c>
    </row>
    <row r="10">
      <c r="A10" s="4" t="inlineStr">
        <is>
          <t>Equity Cheque (£m)</t>
        </is>
      </c>
      <c r="B10" s="7">
        <f>B7-B9</f>
        <v/>
      </c>
    </row>
    <row r="12">
      <c r="A12" s="3" t="inlineStr">
        <is>
          <t>HOLD PERIOD &amp; OPERATING ASSUMPTIONS</t>
        </is>
      </c>
    </row>
    <row r="13">
      <c r="A13" s="4" t="inlineStr">
        <is>
          <t>Hold period (years)</t>
        </is>
      </c>
      <c r="B13" s="10" t="n">
        <v>5</v>
      </c>
    </row>
    <row r="14">
      <c r="A14" s="4" t="inlineStr">
        <is>
          <t>Annual EBITDA growth %</t>
        </is>
      </c>
      <c r="B14" s="11" t="n">
        <v>0.06</v>
      </c>
    </row>
    <row r="15">
      <c r="A15" s="4" t="inlineStr">
        <is>
          <t>Annual FCF available for debt paydown (£m)</t>
        </is>
      </c>
      <c r="B15" s="5" t="n">
        <v>45</v>
      </c>
    </row>
    <row r="16">
      <c r="A16" s="4" t="inlineStr">
        <is>
          <t>Debt interest rate (memo only)</t>
        </is>
      </c>
      <c r="B16" s="11" t="n">
        <v>0.08</v>
      </c>
    </row>
    <row r="18">
      <c r="A18" s="3" t="inlineStr">
        <is>
          <t>DEBT SCHEDULE (£m)</t>
        </is>
      </c>
    </row>
    <row r="19">
      <c r="B19" s="12" t="inlineStr">
        <is>
          <t>Year 1</t>
        </is>
      </c>
      <c r="C19" s="12" t="inlineStr">
        <is>
          <t>Year 2</t>
        </is>
      </c>
      <c r="D19" s="12" t="inlineStr">
        <is>
          <t>Year 3</t>
        </is>
      </c>
      <c r="E19" s="12" t="inlineStr">
        <is>
          <t>Year 4</t>
        </is>
      </c>
      <c r="F19" s="12" t="inlineStr">
        <is>
          <t>Year 5</t>
        </is>
      </c>
    </row>
    <row r="20">
      <c r="A20" s="4" t="inlineStr">
        <is>
          <t>Opening Debt</t>
        </is>
      </c>
      <c r="B20" s="9">
        <f>$B$9</f>
        <v/>
      </c>
      <c r="C20" s="9">
        <f>B22</f>
        <v/>
      </c>
      <c r="D20" s="9">
        <f>C22</f>
        <v/>
      </c>
      <c r="E20" s="9">
        <f>D22</f>
        <v/>
      </c>
      <c r="F20" s="9">
        <f>E22</f>
        <v/>
      </c>
    </row>
    <row r="21">
      <c r="A21" s="4" t="inlineStr">
        <is>
          <t>Less: Debt Paydown</t>
        </is>
      </c>
      <c r="B21" s="9">
        <f>-MIN($B$15,B20)</f>
        <v/>
      </c>
      <c r="C21" s="9">
        <f>-MIN($B$15,C20)</f>
        <v/>
      </c>
      <c r="D21" s="9">
        <f>-MIN($B$15,D20)</f>
        <v/>
      </c>
      <c r="E21" s="9">
        <f>-MIN($B$15,E20)</f>
        <v/>
      </c>
      <c r="F21" s="9">
        <f>-MIN($B$15,F20)</f>
        <v/>
      </c>
    </row>
    <row r="22">
      <c r="A22" s="4" t="inlineStr">
        <is>
          <t>Closing Debt</t>
        </is>
      </c>
      <c r="B22" s="7">
        <f>MAX(B20+B21,0)</f>
        <v/>
      </c>
      <c r="C22" s="7">
        <f>MAX(C20+C21,0)</f>
        <v/>
      </c>
      <c r="D22" s="7">
        <f>MAX(D20+D21,0)</f>
        <v/>
      </c>
      <c r="E22" s="7">
        <f>MAX(E20+E21,0)</f>
        <v/>
      </c>
      <c r="F22" s="7">
        <f>MAX(F20+F21,0)</f>
        <v/>
      </c>
    </row>
    <row r="24">
      <c r="A24" s="3" t="inlineStr">
        <is>
          <t>EBITDA GROWTH (£m)</t>
        </is>
      </c>
    </row>
    <row r="25">
      <c r="A25" s="4" t="inlineStr">
        <is>
          <t>EBITDA</t>
        </is>
      </c>
      <c r="B25" s="9">
        <f>$B$5*(1+$B$14)</f>
        <v/>
      </c>
      <c r="C25" s="9">
        <f>B25*(1+$B$14)</f>
        <v/>
      </c>
      <c r="D25" s="9">
        <f>C25*(1+$B$14)</f>
        <v/>
      </c>
      <c r="E25" s="9">
        <f>D25*(1+$B$14)</f>
        <v/>
      </c>
      <c r="F25" s="9">
        <f>E25*(1+$B$14)</f>
        <v/>
      </c>
    </row>
    <row r="27">
      <c r="A27" s="3" t="inlineStr">
        <is>
          <t>EXIT &amp; RETURNS</t>
        </is>
      </c>
    </row>
    <row r="28">
      <c r="A28" s="4" t="inlineStr">
        <is>
          <t>Exit Year</t>
        </is>
      </c>
      <c r="B28" s="10" t="n">
        <v>5</v>
      </c>
    </row>
    <row r="29">
      <c r="A29" s="4" t="inlineStr">
        <is>
          <t>Exit EBITDA (£m) — pulls from Year 5 above</t>
        </is>
      </c>
      <c r="B29" s="9">
        <f>F25</f>
        <v/>
      </c>
    </row>
    <row r="30">
      <c r="A30" s="4" t="inlineStr">
        <is>
          <t>Exit Multiple (x EBITDA)</t>
        </is>
      </c>
      <c r="B30" s="6" t="n">
        <v>9</v>
      </c>
    </row>
    <row r="31">
      <c r="A31" s="4" t="inlineStr">
        <is>
          <t>Exit Enterprise Value (£m)</t>
        </is>
      </c>
      <c r="B31" s="9">
        <f>B29*B30</f>
        <v/>
      </c>
    </row>
    <row r="32">
      <c r="A32" s="4" t="inlineStr">
        <is>
          <t>Less: Exit Debt — pulls from Year 5 above</t>
        </is>
      </c>
      <c r="B32" s="9">
        <f>-F22</f>
        <v/>
      </c>
    </row>
    <row r="33">
      <c r="A33" s="13" t="inlineStr">
        <is>
          <t>Exit Equity Proceeds (£m)</t>
        </is>
      </c>
      <c r="B33" s="14">
        <f>B31+B32</f>
        <v/>
      </c>
    </row>
    <row r="35">
      <c r="A35" s="3" t="inlineStr">
        <is>
          <t>RETURNS SUMMARY</t>
        </is>
      </c>
    </row>
    <row r="36">
      <c r="A36" s="4" t="inlineStr">
        <is>
          <t>Entry Equity Cheque (£m)</t>
        </is>
      </c>
      <c r="B36" s="9">
        <f>B10</f>
        <v/>
      </c>
    </row>
    <row r="37">
      <c r="A37" s="4" t="inlineStr">
        <is>
          <t>Exit Equity Proceeds (£m)</t>
        </is>
      </c>
      <c r="B37" s="9">
        <f>B33</f>
        <v/>
      </c>
    </row>
    <row r="38">
      <c r="A38" s="13" t="inlineStr">
        <is>
          <t>MOIC (Money Multiple)</t>
        </is>
      </c>
      <c r="B38" s="15">
        <f>B37/B36</f>
        <v/>
      </c>
    </row>
    <row r="39">
      <c r="A39" s="13" t="inlineStr">
        <is>
          <t>Approx. IRR</t>
        </is>
      </c>
      <c r="B39" s="16">
        <f>B38^(1/B13)-1</f>
        <v/>
      </c>
    </row>
  </sheetData>
  <mergeCells count="6">
    <mergeCell ref="A12:H12"/>
    <mergeCell ref="A4:H4"/>
    <mergeCell ref="A18:H18"/>
    <mergeCell ref="A35:H35"/>
    <mergeCell ref="A24:H24"/>
    <mergeCell ref="A27:H2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1" t="inlineStr">
        <is>
          <t>How to use this LBO template</t>
        </is>
      </c>
    </row>
    <row r="2" ht="260" customHeight="1">
      <c r="A2" s="17" t="inlineStr">
        <is>
          <t>1. Replace every YELLOW cell — entry EBITDA, entry/exit multiples, debt %, hold period, growth rate and annual FCF for paydown.
2. The debt schedule pays down using the simplifying assumption that ALL free cash flow goes to debt paydown each year (a 'cash sweep'). Real models often add cash flow build-ups from a full P&amp;L instead of a flat annual figure — this is your starting skeleton.
3. The three classic LBO return levers are all visible here: debt paydown (compare opening vs closing debt), EBITDA growth (Year 1 vs Year 5 EBITDA), and multiple expansion/contraction (compare entry vs exit multiple assumptions).
4. MOIC and IRR are the two headline return metrics private equity funds are judged on — a MOIC around 2.0-3.0x and IRR around 20-25% over a 5-year hold is a commonly cited target range, though this varies significantly by strategy and market conditions.
5. This is a simplified single-tranche debt model for learning. Real LBOs often layer senior debt, mezzanine and multiple tranches with different amortisation schedules.
Built for the FINdr Develop Knowledge LBO capstone (findr — Finance Discovery). Practise the same steps interactively at /learn/capstone/lbo.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2026-07-15T18:08:00Z</dcterms:created>
  <dcterms:modified xsi:type="dcterms:W3CDTF">2026-07-15T18:08:00Z</dcterms:modified>
</cp:coreProperties>
</file>